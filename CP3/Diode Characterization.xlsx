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pa\Downloads\Semesters\Senior Year\Fall\Sensors\CPs\CP3\"/>
    </mc:Choice>
  </mc:AlternateContent>
  <xr:revisionPtr revIDLastSave="0" documentId="13_ncr:1_{203B154F-AC86-4251-BC0F-1B0EB74C9C6D}" xr6:coauthVersionLast="47" xr6:coauthVersionMax="47" xr10:uidLastSave="{00000000-0000-0000-0000-000000000000}"/>
  <bookViews>
    <workbookView xWindow="-103" yWindow="-103" windowWidth="26537" windowHeight="15943" xr2:uid="{6040A0C8-5A62-4C51-BCDB-DEB5E8E6B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<sst xmlns="http://schemas.openxmlformats.org/spreadsheetml/2006/main" count="4" uniqueCount="4">
  <si>
    <t>Vout(V)</t>
  </si>
  <si>
    <t>Resistor(Mohm)</t>
  </si>
  <si>
    <t>Current(A)</t>
  </si>
  <si>
    <t>ln(I)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</si>
</sst>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Vout (logamp) vs. ln(current through diode)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60761154855641"/>
                  <c:y val="-0.123502478856809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Sheet1!$D$2:$D$6</c:f>
              <c:numCache>
                <c:formatCode>General</c:formatCode>
                <c:ptCount val="5"/>
                <c:pt idx="0">
                  <c:v>1.6114399151047736</c:v>
                </c:pt>
                <c:pt idx="1">
                  <c:v>2.294616923344869</c:v>
                </c:pt>
                <c:pt idx="2">
                  <c:v>3.0533613863906273</c:v>
                </c:pt>
                <c:pt idx="3">
                  <c:v>3.7550192566184815</c:v>
                </c:pt>
                <c:pt idx="4">
                  <c:v>4.3080329547655554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-0.54759999999999998</c:v>
                </c:pt>
                <c:pt idx="1">
                  <c:v>-0.56899999999999995</c:v>
                </c:pt>
                <c:pt idx="2">
                  <c:v>-0.5927</c:v>
                </c:pt>
                <c:pt idx="3">
                  <c:v>-0.61299999999999999</c:v>
                </c:pt>
                <c:pt idx="4">
                  <c:v>-0.62960000000000005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A2-44B1-9B3F-A3C1804A3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032799"/>
        <c:axId val="223865615"/>
      </c:scatterChart>
      <c:valAx>
        <c:axId val="202303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ln(current through diode)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65615"/>
        <c:crosses val="autoZero"/>
        <c:crossBetween val="midCat"/>
      </c:valAx>
      <c:valAx>
        <c:axId val="22386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Vout(V)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3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12</xdr:row>
      <xdr:rowOff>16328</xdr:rowOff>
    </xdr:from>
    <xdr:to>
      <xdr:col>8</xdr:col>
      <xdr:colOff>138793</xdr:colOff>
      <xdr:row>26</xdr:row>
      <xdr:rowOff>168728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C941DC-13D5-DCE2-9986-F92C75ABA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9EE7-6EC3-4F51-982A-A387F4A64980}">
  <dimension ref="A1:D6"/>
  <sheetViews>
    <sheetView tabSelected="1" topLeftCell="B1" workbookViewId="0">
      <selection activeCell="L25" sqref="L25"/>
    </sheetView>
  </sheetViews>
  <sheetFormatPr defaultRowHeight="14.6" x14ac:dyDescent="0.4"/>
  <cols>
    <col min="1" max="1" width="14.69140625" customWidth="1"/>
    <col min="3" max="3" width="10.3046875" customWidth="1"/>
    <col min="4" max="4" width="14.921875" customWidth="1"/>
  </cols>
  <sheetData>
    <row r="1" spans="1:4" x14ac:dyDescent="0.4">
      <c r="A1" s="1" t="s">
        <v>1</v>
      </c>
      <c r="B1" s="1" t="s">
        <v>0</v>
      </c>
      <c r="C1" t="s">
        <v>2</v>
      </c>
      <c r="D1" t="s">
        <v>3</v>
      </c>
    </row>
    <row r="2" spans="1:4" x14ac:dyDescent="0.4">
      <c r="A2" s="1">
        <v>0.998</v>
      </c>
      <c r="B2" s="1">
        <v>-0.54759999999999998</v>
      </c>
      <c r="C2">
        <f>5/A2</f>
        <v>5.0100200400801604</v>
      </c>
      <c r="D2">
        <f>LN(C2)</f>
        <v>1.6114399151047736</v>
      </c>
    </row>
    <row r="3" spans="1:4" x14ac:dyDescent="0.4">
      <c r="A3" s="1">
        <v>0.504</v>
      </c>
      <c r="B3" s="1">
        <v>-0.56899999999999995</v>
      </c>
      <c r="C3">
        <f t="shared" ref="C3:C6" si="0">5/A3</f>
        <v>9.9206349206349209</v>
      </c>
      <c r="D3">
        <f t="shared" ref="D3:D6" si="1">LN(C3)</f>
        <v>2.294616923344869</v>
      </c>
    </row>
    <row r="4" spans="1:4" x14ac:dyDescent="0.4">
      <c r="A4" s="1">
        <v>0.23599999999999999</v>
      </c>
      <c r="B4" s="1">
        <v>-0.5927</v>
      </c>
      <c r="C4">
        <f t="shared" si="0"/>
        <v>21.186440677966104</v>
      </c>
      <c r="D4">
        <f t="shared" si="1"/>
        <v>3.0533613863906273</v>
      </c>
    </row>
    <row r="5" spans="1:4" x14ac:dyDescent="0.4">
      <c r="A5" s="1">
        <v>0.11700000000000001</v>
      </c>
      <c r="B5" s="1">
        <v>-0.61299999999999999</v>
      </c>
      <c r="C5">
        <f t="shared" si="0"/>
        <v>42.735042735042732</v>
      </c>
      <c r="D5">
        <f t="shared" si="1"/>
        <v>3.7550192566184815</v>
      </c>
    </row>
    <row r="6" spans="1:4" x14ac:dyDescent="0.4">
      <c r="A6" s="1">
        <v>6.7299999999999999E-2</v>
      </c>
      <c r="B6" s="1">
        <v>-0.62960000000000005</v>
      </c>
      <c r="C6">
        <f t="shared" si="0"/>
        <v>74.29420505200595</v>
      </c>
      <c r="D6">
        <f t="shared" si="1"/>
        <v>4.3080329547655554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Parks</dc:creator>
  <cp:lastModifiedBy>Benjamin Parks</cp:lastModifiedBy>
  <dcterms:created xsi:type="dcterms:W3CDTF">2026-09-27T19:25:25Z</dcterms:created>
  <dcterms:modified xsi:type="dcterms:W3CDTF">2026-09-27T19:52:30Z</dcterms:modified>
</cp:coreProperties>
</file>